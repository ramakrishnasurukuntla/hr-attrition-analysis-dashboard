
<file path=[Content_Types].xml><?xml version="1.0" encoding="utf-8"?>
<Types xmlns="http://schemas.openxmlformats.org/package/2006/content-types">
  <Default Extension="png" ContentType="image/png"/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drawings/drawing1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890" windowHeight="7500" activeTab="1"/>
  </bookViews>
  <sheets>
    <sheet name="Sheet1" sheetId="1" r:id="rId1"/>
    <sheet name="Sheet2" sheetId="2" r:id="rId2"/>
  </sheets>
  <calcPr calcId="191029"/>
  <pivotCaches>
    <pivotCache cacheId="0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<sst xmlns="http://schemas.openxmlformats.org/spreadsheetml/2006/main" count="93" uniqueCount="42">
  <si>
    <t>Employee id</t>
  </si>
  <si>
    <t>Name</t>
  </si>
  <si>
    <t>Age</t>
  </si>
  <si>
    <t>Gender</t>
  </si>
  <si>
    <t>Department</t>
  </si>
  <si>
    <t>Salary</t>
  </si>
  <si>
    <t>Experience</t>
  </si>
  <si>
    <t>Overtime</t>
  </si>
  <si>
    <t>Attrition</t>
  </si>
  <si>
    <t>Job satisfactim</t>
  </si>
  <si>
    <t>ram</t>
  </si>
  <si>
    <t>Male</t>
  </si>
  <si>
    <t>IT</t>
  </si>
  <si>
    <t>Yes</t>
  </si>
  <si>
    <t>No</t>
  </si>
  <si>
    <t>High</t>
  </si>
  <si>
    <t>vinay</t>
  </si>
  <si>
    <t>HR</t>
  </si>
  <si>
    <t>Low</t>
  </si>
  <si>
    <t>bhargavi</t>
  </si>
  <si>
    <t>Female</t>
  </si>
  <si>
    <t>Medium</t>
  </si>
  <si>
    <t>KPI Calculations</t>
  </si>
  <si>
    <t>sriram</t>
  </si>
  <si>
    <t>Sales</t>
  </si>
  <si>
    <t>Total Employees</t>
  </si>
  <si>
    <t>priyanka</t>
  </si>
  <si>
    <t>Attrition Count</t>
  </si>
  <si>
    <t>swetha</t>
  </si>
  <si>
    <t>Attrition Rate</t>
  </si>
  <si>
    <t>prasad</t>
  </si>
  <si>
    <t>Average Salary</t>
  </si>
  <si>
    <t>anitha</t>
  </si>
  <si>
    <t>nikil</t>
  </si>
  <si>
    <t>gouthami</t>
  </si>
  <si>
    <t>yes</t>
  </si>
  <si>
    <t>Department-Wise Attrition Chart</t>
  </si>
  <si>
    <t>Gender Distribution</t>
  </si>
  <si>
    <t>Average Salary By Department</t>
  </si>
  <si>
    <t>Attrition By Job satisfaction</t>
  </si>
  <si>
    <t>(ALL)</t>
  </si>
  <si>
    <t>HR ATTRITION ANALYTICS DASHBOARD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</si>
</sst>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8">
    <font>
      <sz val="11"/>
      <color theme="1"/>
      <name val="Calibri"/>
      <charset val="134"/>
      <scheme val="minor"/>
    </font>
    <font>
      <sz val="11"/>
      <color theme="2"/>
      <name val="Calibri"/>
      <charset val="134"/>
      <scheme val="minor"/>
    </font>
    <font>
      <sz val="48"/>
      <color theme="2"/>
      <name val="Calibri"/>
      <charset val="134"/>
      <scheme val="minor"/>
    </font>
    <font>
      <b/>
      <sz val="48"/>
      <name val="Calibri"/>
      <charset val="134"/>
      <scheme val="minor"/>
    </font>
    <font>
      <b/>
      <sz val="18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1"/>
      <color theme="1"/>
      <name val="Consolas"/>
      <charset val="134"/>
    </font>
    <font>
      <b/>
      <sz val="12"/>
      <color theme="1"/>
      <name val="Calibri"/>
      <charset val="134"/>
      <scheme val="minor"/>
    </font>
    <font>
      <sz val="10.5"/>
      <color theme="1"/>
      <name val="Consolas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5" borderId="5" applyNumberFormat="0" applyAlignment="0" applyProtection="0">
      <alignment vertical="center"/>
    </xf>
    <xf numFmtId="0" fontId="18" fillId="6" borderId="6" applyNumberFormat="0" applyAlignment="0" applyProtection="0">
      <alignment vertical="center"/>
    </xf>
    <xf numFmtId="0" fontId="19" fillId="6" borderId="5" applyNumberFormat="0" applyAlignment="0" applyProtection="0">
      <alignment vertical="center"/>
    </xf>
    <xf numFmtId="0" fontId="20" fillId="7" borderId="7" applyNumberFormat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2" fillId="2" borderId="0" xfId="0" applyFont="1" applyFill="1">
      <alignment vertical="center"/>
    </xf>
    <xf numFmtId="0" fontId="3" fillId="2" borderId="0" xfId="0" applyFont="1" applyFill="1">
      <alignment vertical="center"/>
    </xf>
    <xf numFmtId="0" fontId="4" fillId="2" borderId="0" xfId="0" applyFont="1" applyFill="1">
      <alignment vertical="center"/>
    </xf>
    <xf numFmtId="0" fontId="0" fillId="3" borderId="0" xfId="0" applyFill="1">
      <alignment vertical="center"/>
    </xf>
    <xf numFmtId="0" fontId="5" fillId="0" borderId="0" xfId="0" applyFont="1">
      <alignment vertical="center"/>
    </xf>
    <xf numFmtId="0" fontId="6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7" fillId="0" borderId="0" xfId="0" applyFont="1">
      <alignment vertical="center"/>
    </xf>
    <xf numFmtId="0" fontId="7" fillId="0" borderId="0" xfId="0" applyFont="1">
      <alignment vertical="center"/>
    </xf>
    <xf numFmtId="0" fontId="0" fillId="0" borderId="1" xfId="0" applyBorder="1">
      <alignment vertical="center"/>
    </xf>
    <xf numFmtId="0" fontId="8" fillId="0" borderId="0" xfId="0" applyFont="1" applyBorder="1">
      <alignment vertical="center"/>
    </xf>
    <xf numFmtId="0" fontId="0" fillId="0" borderId="0" xfId="0" applyBorder="1">
      <alignment vertical="center"/>
    </xf>
    <xf numFmtId="0" fontId="7" fillId="0" borderId="0" xfId="0" applyFont="1" applyBorder="1">
      <alignment vertical="center"/>
    </xf>
    <xf numFmtId="0" fontId="7" fillId="0" borderId="0" xfId="0" applyFont="1" applyBorder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altLang="en-US"/>
              <a:t>Attrition By Department</a:t>
            </a:r>
            <a:endParaRPr lang="en-IN" altLang="en-US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0959589597009638"/>
          <c:y val="0.237653767168533"/>
          <c:w val="0.858015267175572"/>
          <c:h val="0.556354166666667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Sheet1!$B$15:$B$17</c:f>
              <c:strCache>
                <c:ptCount val="3"/>
                <c:pt idx="0">
                  <c:v>IT</c:v>
                </c:pt>
                <c:pt idx="1">
                  <c:v>HR</c:v>
                </c:pt>
                <c:pt idx="2">
                  <c:v>Sales</c:v>
                </c:pt>
              </c:strCache>
            </c:strRef>
          </c:cat>
          <c:val>
            <c:numRef>
              <c:f>Sheet1!$C$15:$C$17</c:f>
              <c:numCache>
                <c:formatCode>General</c:formatCode>
                <c:ptCount val="3"/>
                <c:pt idx="0">
                  <c:v>3</c:v>
                </c:pt>
                <c:pt idx="1">
                  <c:v>4</c:v>
                </c:pt>
                <c:pt idx="2">
                  <c:v>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40"/>
        <c:overlap val="-40"/>
        <c:axId val="926112018"/>
        <c:axId val="846310332"/>
      </c:barChart>
      <c:catAx>
        <c:axId val="926112018"/>
        <c:scaling>
          <c:orientation val="minMax"/>
        </c:scaling>
        <c:delete val="0"/>
        <c:axPos val="l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46310332"/>
        <c:crosses val="autoZero"/>
        <c:auto val="1"/>
        <c:lblAlgn val="ctr"/>
        <c:lblOffset val="100"/>
        <c:noMultiLvlLbl val="0"/>
      </c:catAx>
      <c:valAx>
        <c:axId val="8463103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2611201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6fe280b1-6700-4292-96bf-bf5d20169262}"/>
      </c:ext>
    </c:extLst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altLang="en-US"/>
              <a:t>Employee Gender Distribution</a:t>
            </a:r>
            <a:endParaRPr lang="en-IN" altLang="en-US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spPr/>
          <c:explosion val="0"/>
          <c:dPt>
            <c:idx val="0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/>
            </c:spPr>
          </c:dPt>
          <c:dLbls>
            <c:delete val="1"/>
          </c:dLbls>
          <c:cat>
            <c:strRef>
              <c:f>Sheet1!$F$15:$F$16</c:f>
              <c:strCache>
                <c:ptCount val="2"/>
                <c:pt idx="0">
                  <c:v>Male</c:v>
                </c:pt>
                <c:pt idx="1">
                  <c:v>Female</c:v>
                </c:pt>
              </c:strCache>
            </c:strRef>
          </c:cat>
          <c:val>
            <c:numRef>
              <c:f>Sheet1!$G$15:$G$16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82476842-efd8-4e4b-b1d7-98a41960b50b}"/>
      </c:ext>
    </c:extLst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altLang="en-US"/>
              <a:t>Average Salary By Department</a:t>
            </a:r>
            <a:endParaRPr lang="en-IN" altLang="en-US"/>
          </a:p>
        </c:rich>
      </c:tx>
      <c:layout>
        <c:manualLayout>
          <c:xMode val="edge"/>
          <c:yMode val="edge"/>
          <c:x val="0.234481566029381"/>
          <c:y val="0.0581713169090729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46417212347989"/>
          <c:y val="0.236568714752152"/>
          <c:w val="0.824022450888681"/>
          <c:h val="0.494330661917483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Sheet1!$I$15:$I$17</c:f>
              <c:strCache>
                <c:ptCount val="3"/>
                <c:pt idx="0">
                  <c:v>IT</c:v>
                </c:pt>
                <c:pt idx="1">
                  <c:v>HR</c:v>
                </c:pt>
                <c:pt idx="2">
                  <c:v>Sales</c:v>
                </c:pt>
              </c:strCache>
            </c:strRef>
          </c:cat>
          <c:val>
            <c:numRef>
              <c:f>Sheet1!$J$15:$J$17</c:f>
              <c:numCache>
                <c:formatCode>General</c:formatCode>
                <c:ptCount val="3"/>
                <c:pt idx="0">
                  <c:v>33250</c:v>
                </c:pt>
                <c:pt idx="1">
                  <c:v>38333</c:v>
                </c:pt>
                <c:pt idx="2">
                  <c:v>26666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956672276"/>
        <c:axId val="228758012"/>
      </c:barChart>
      <c:catAx>
        <c:axId val="95667227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28758012"/>
        <c:crosses val="autoZero"/>
        <c:auto val="1"/>
        <c:lblAlgn val="ctr"/>
        <c:lblOffset val="100"/>
        <c:noMultiLvlLbl val="0"/>
      </c:catAx>
      <c:valAx>
        <c:axId val="2287580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566722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2b9cb22c-f97f-4846-bbde-2579627c83cf}"/>
      </c:ext>
    </c:extLst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altLang="en-US"/>
              <a:t>Job Satisfaction Attrition</a:t>
            </a:r>
            <a:endParaRPr lang="en-IN" altLang="en-US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Sheet1!$L$15:$L$17</c:f>
              <c:strCache>
                <c:ptCount val="3"/>
                <c:pt idx="0">
                  <c:v>High</c:v>
                </c:pt>
                <c:pt idx="1">
                  <c:v>Medium</c:v>
                </c:pt>
                <c:pt idx="2">
                  <c:v>Low</c:v>
                </c:pt>
              </c:strCache>
            </c:strRef>
          </c:cat>
          <c:val>
            <c:numRef>
              <c:f>Sheet1!$M$15:$M$17</c:f>
              <c:numCache>
                <c:formatCode>General</c:formatCode>
                <c:ptCount val="3"/>
                <c:pt idx="0">
                  <c:v>3</c:v>
                </c:pt>
                <c:pt idx="1">
                  <c:v>2</c:v>
                </c:pt>
                <c:pt idx="2">
                  <c:v>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271452374"/>
        <c:axId val="583283160"/>
      </c:barChart>
      <c:catAx>
        <c:axId val="27145237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83283160"/>
        <c:crosses val="autoZero"/>
        <c:auto val="1"/>
        <c:lblAlgn val="ctr"/>
        <c:lblOffset val="100"/>
        <c:noMultiLvlLbl val="0"/>
      </c:catAx>
      <c:valAx>
        <c:axId val="583283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7145237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665fdc17-d521-4b01-b368-ecc15b993428}"/>
      </c:ext>
    </c:extLst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11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08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solidFill>
          <a:schemeClr val="bg1"/>
        </a:soli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5.png"/><Relationship Id="rId8" Type="http://schemas.openxmlformats.org/officeDocument/2006/relationships/image" Target="../media/image4.png"/><Relationship Id="rId7" Type="http://schemas.openxmlformats.org/officeDocument/2006/relationships/image" Target="../media/image3.jpeg"/><Relationship Id="rId6" Type="http://schemas.openxmlformats.org/officeDocument/2006/relationships/image" Target="../media/image2.png"/><Relationship Id="rId5" Type="http://schemas.openxmlformats.org/officeDocument/2006/relationships/image" Target="../media/image1.png"/><Relationship Id="rId4" Type="http://schemas.openxmlformats.org/officeDocument/2006/relationships/chart" Target="../charts/chart4.xml"/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0" Type="http://schemas.openxmlformats.org/officeDocument/2006/relationships/image" Target="../media/image6.pn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</xdr:col>
      <xdr:colOff>592455</xdr:colOff>
      <xdr:row>14</xdr:row>
      <xdr:rowOff>181610</xdr:rowOff>
    </xdr:from>
    <xdr:to>
      <xdr:col>15</xdr:col>
      <xdr:colOff>78740</xdr:colOff>
      <xdr:row>31</xdr:row>
      <xdr:rowOff>34925</xdr:rowOff>
    </xdr:to>
    <xdr:graphicFrame>
      <xdr:nvGraphicFramePr>
        <xdr:cNvPr id="2" name="Chart 1"/>
        <xdr:cNvGraphicFramePr/>
      </xdr:nvGraphicFramePr>
      <xdr:xfrm>
        <a:off x="3030855" y="3543935"/>
        <a:ext cx="6191885" cy="309181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40640</xdr:colOff>
      <xdr:row>14</xdr:row>
      <xdr:rowOff>170180</xdr:rowOff>
    </xdr:from>
    <xdr:to>
      <xdr:col>25</xdr:col>
      <xdr:colOff>497840</xdr:colOff>
      <xdr:row>31</xdr:row>
      <xdr:rowOff>73025</xdr:rowOff>
    </xdr:to>
    <xdr:graphicFrame>
      <xdr:nvGraphicFramePr>
        <xdr:cNvPr id="3" name="Chart 2"/>
        <xdr:cNvGraphicFramePr/>
      </xdr:nvGraphicFramePr>
      <xdr:xfrm>
        <a:off x="9794240" y="3532505"/>
        <a:ext cx="5943600" cy="314134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537845</xdr:colOff>
      <xdr:row>33</xdr:row>
      <xdr:rowOff>167640</xdr:rowOff>
    </xdr:from>
    <xdr:to>
      <xdr:col>15</xdr:col>
      <xdr:colOff>91440</xdr:colOff>
      <xdr:row>50</xdr:row>
      <xdr:rowOff>141605</xdr:rowOff>
    </xdr:to>
    <xdr:graphicFrame>
      <xdr:nvGraphicFramePr>
        <xdr:cNvPr id="4" name="Chart 3"/>
        <xdr:cNvGraphicFramePr/>
      </xdr:nvGraphicFramePr>
      <xdr:xfrm>
        <a:off x="2976245" y="7149465"/>
        <a:ext cx="6259195" cy="321246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130175</xdr:colOff>
      <xdr:row>33</xdr:row>
      <xdr:rowOff>91440</xdr:rowOff>
    </xdr:from>
    <xdr:to>
      <xdr:col>25</xdr:col>
      <xdr:colOff>678815</xdr:colOff>
      <xdr:row>50</xdr:row>
      <xdr:rowOff>17145</xdr:rowOff>
    </xdr:to>
    <xdr:graphicFrame>
      <xdr:nvGraphicFramePr>
        <xdr:cNvPr id="13" name="Chart 12"/>
        <xdr:cNvGraphicFramePr/>
      </xdr:nvGraphicFramePr>
      <xdr:xfrm>
        <a:off x="9883775" y="7073265"/>
        <a:ext cx="6035040" cy="316420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0</xdr:col>
      <xdr:colOff>391160</xdr:colOff>
      <xdr:row>18</xdr:row>
      <xdr:rowOff>29210</xdr:rowOff>
    </xdr:from>
    <xdr:to>
      <xdr:col>4</xdr:col>
      <xdr:colOff>79375</xdr:colOff>
      <xdr:row>32</xdr:row>
      <xdr:rowOff>53340</xdr:rowOff>
    </xdr:to>
    <xdr:pic>
      <xdr:nvPicPr>
        <xdr:cNvPr id="14" name="Gender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91160" y="4153535"/>
          <a:ext cx="2126615" cy="2691130"/>
        </a:xfrm>
        <a:prstGeom prst="rect">
          <a:avLst/>
        </a:prstGeom>
      </xdr:spPr>
    </xdr:pic>
    <xdr:clientData/>
  </xdr:twoCellAnchor>
  <xdr:twoCellAnchor editAs="oneCell">
    <xdr:from>
      <xdr:col>0</xdr:col>
      <xdr:colOff>405765</xdr:colOff>
      <xdr:row>35</xdr:row>
      <xdr:rowOff>171450</xdr:rowOff>
    </xdr:from>
    <xdr:to>
      <xdr:col>4</xdr:col>
      <xdr:colOff>131445</xdr:colOff>
      <xdr:row>50</xdr:row>
      <xdr:rowOff>132080</xdr:rowOff>
    </xdr:to>
    <xdr:pic>
      <xdr:nvPicPr>
        <xdr:cNvPr id="15" name="Department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405765" y="7534275"/>
          <a:ext cx="2164080" cy="2818130"/>
        </a:xfrm>
        <a:prstGeom prst="rect">
          <a:avLst/>
        </a:prstGeom>
      </xdr:spPr>
    </xdr:pic>
    <xdr:clientData/>
  </xdr:twoCellAnchor>
  <xdr:twoCellAnchor>
    <xdr:from>
      <xdr:col>0</xdr:col>
      <xdr:colOff>180340</xdr:colOff>
      <xdr:row>4</xdr:row>
      <xdr:rowOff>131445</xdr:rowOff>
    </xdr:from>
    <xdr:to>
      <xdr:col>6</xdr:col>
      <xdr:colOff>166370</xdr:colOff>
      <xdr:row>12</xdr:row>
      <xdr:rowOff>128905</xdr:rowOff>
    </xdr:to>
    <xdr:sp>
      <xdr:nvSpPr>
        <xdr:cNvPr id="17" name="Rounded Rectangle 16"/>
        <xdr:cNvSpPr/>
      </xdr:nvSpPr>
      <xdr:spPr>
        <a:xfrm>
          <a:off x="180340" y="1483995"/>
          <a:ext cx="3643630" cy="1626235"/>
        </a:xfrm>
        <a:prstGeom prst="roundRect">
          <a:avLst/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r>
            <a:rPr lang="en-IN" altLang="en-US" sz="1100"/>
            <a:t>                                   </a:t>
          </a:r>
          <a:r>
            <a:rPr lang="en-IN" altLang="en-US" sz="2000" b="1">
              <a:solidFill>
                <a:sysClr val="windowText" lastClr="000000"/>
              </a:solidFill>
            </a:rPr>
            <a:t> Total Employees</a:t>
          </a:r>
          <a:endParaRPr lang="en-IN" altLang="en-US" sz="2000" b="1">
            <a:solidFill>
              <a:sysClr val="windowText" lastClr="000000"/>
            </a:solidFill>
          </a:endParaRPr>
        </a:p>
        <a:p>
          <a:pPr algn="l"/>
          <a:r>
            <a:rPr lang="en-IN" altLang="en-US" sz="2000" b="1">
              <a:solidFill>
                <a:sysClr val="windowText" lastClr="000000"/>
              </a:solidFill>
            </a:rPr>
            <a:t>                           </a:t>
          </a:r>
          <a:r>
            <a:rPr lang="en-IN" altLang="en-US" sz="3200" b="1">
              <a:solidFill>
                <a:sysClr val="windowText" lastClr="000000"/>
              </a:solidFill>
            </a:rPr>
            <a:t> 10</a:t>
          </a:r>
          <a:endParaRPr lang="en-IN" altLang="en-US" sz="32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6</xdr:col>
      <xdr:colOff>556260</xdr:colOff>
      <xdr:row>4</xdr:row>
      <xdr:rowOff>130175</xdr:rowOff>
    </xdr:from>
    <xdr:to>
      <xdr:col>13</xdr:col>
      <xdr:colOff>305435</xdr:colOff>
      <xdr:row>12</xdr:row>
      <xdr:rowOff>114935</xdr:rowOff>
    </xdr:to>
    <xdr:sp>
      <xdr:nvSpPr>
        <xdr:cNvPr id="19" name="Rounded Rectangle 18"/>
        <xdr:cNvSpPr/>
      </xdr:nvSpPr>
      <xdr:spPr>
        <a:xfrm>
          <a:off x="4213860" y="1482725"/>
          <a:ext cx="4016375" cy="1613535"/>
        </a:xfrm>
        <a:prstGeom prst="roundRect">
          <a:avLst/>
        </a:prstGeom>
        <a:solidFill>
          <a:schemeClr val="accent1">
            <a:lumMod val="60000"/>
            <a:lumOff val="40000"/>
          </a:schemeClr>
        </a:soli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r>
            <a:rPr lang="en-IN" altLang="en-US" sz="1100"/>
            <a:t>                            </a:t>
          </a:r>
          <a:r>
            <a:rPr lang="en-IN" altLang="en-US" sz="2400" b="1">
              <a:solidFill>
                <a:sysClr val="windowText" lastClr="000000"/>
              </a:solidFill>
            </a:rPr>
            <a:t>  Attrition Count</a:t>
          </a:r>
          <a:endParaRPr lang="en-IN" altLang="en-US" sz="2400" b="1">
            <a:solidFill>
              <a:sysClr val="windowText" lastClr="000000"/>
            </a:solidFill>
          </a:endParaRPr>
        </a:p>
        <a:p>
          <a:pPr algn="l"/>
          <a:r>
            <a:rPr lang="en-IN" altLang="en-US" sz="2400" b="1">
              <a:solidFill>
                <a:sysClr val="windowText" lastClr="000000"/>
              </a:solidFill>
            </a:rPr>
            <a:t>                       </a:t>
          </a:r>
          <a:r>
            <a:rPr lang="en-IN" altLang="en-US" sz="3600" b="1">
              <a:solidFill>
                <a:sysClr val="windowText" lastClr="000000"/>
              </a:solidFill>
            </a:rPr>
            <a:t>   6</a:t>
          </a:r>
          <a:endParaRPr lang="en-IN" altLang="en-US" sz="36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14</xdr:col>
      <xdr:colOff>100965</xdr:colOff>
      <xdr:row>4</xdr:row>
      <xdr:rowOff>99695</xdr:rowOff>
    </xdr:from>
    <xdr:to>
      <xdr:col>20</xdr:col>
      <xdr:colOff>52705</xdr:colOff>
      <xdr:row>12</xdr:row>
      <xdr:rowOff>155575</xdr:rowOff>
    </xdr:to>
    <xdr:sp>
      <xdr:nvSpPr>
        <xdr:cNvPr id="21" name="Rounded Rectangle 20"/>
        <xdr:cNvSpPr/>
      </xdr:nvSpPr>
      <xdr:spPr>
        <a:xfrm>
          <a:off x="8635365" y="1452245"/>
          <a:ext cx="3609340" cy="1684655"/>
        </a:xfrm>
        <a:prstGeom prst="roundRect">
          <a:avLst/>
        </a:prstGeom>
        <a:solidFill>
          <a:schemeClr val="accent1">
            <a:lumMod val="20000"/>
            <a:lumOff val="80000"/>
          </a:schemeClr>
        </a:soli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r>
            <a:rPr lang="en-IN" altLang="en-US" sz="1100"/>
            <a:t>                                 </a:t>
          </a:r>
          <a:r>
            <a:rPr lang="en-IN" altLang="en-US" sz="2400" b="1">
              <a:solidFill>
                <a:sysClr val="windowText" lastClr="000000"/>
              </a:solidFill>
            </a:rPr>
            <a:t>  Attrition Rate</a:t>
          </a:r>
          <a:endParaRPr lang="en-IN" altLang="en-US" sz="2400" b="1">
            <a:solidFill>
              <a:sysClr val="windowText" lastClr="000000"/>
            </a:solidFill>
          </a:endParaRPr>
        </a:p>
        <a:p>
          <a:pPr algn="l"/>
          <a:r>
            <a:rPr lang="en-IN" altLang="en-US" sz="2400" b="1">
              <a:solidFill>
                <a:sysClr val="windowText" lastClr="000000"/>
              </a:solidFill>
            </a:rPr>
            <a:t>                      </a:t>
          </a:r>
          <a:r>
            <a:rPr lang="en-IN" altLang="en-US" sz="3200" b="1">
              <a:solidFill>
                <a:sysClr val="windowText" lastClr="000000"/>
              </a:solidFill>
            </a:rPr>
            <a:t>  60 %</a:t>
          </a:r>
          <a:endParaRPr lang="en-IN" altLang="en-US" sz="32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20</xdr:col>
      <xdr:colOff>549275</xdr:colOff>
      <xdr:row>4</xdr:row>
      <xdr:rowOff>152400</xdr:rowOff>
    </xdr:from>
    <xdr:to>
      <xdr:col>25</xdr:col>
      <xdr:colOff>897890</xdr:colOff>
      <xdr:row>12</xdr:row>
      <xdr:rowOff>136525</xdr:rowOff>
    </xdr:to>
    <xdr:sp>
      <xdr:nvSpPr>
        <xdr:cNvPr id="22" name="Rounded Rectangle 21"/>
        <xdr:cNvSpPr/>
      </xdr:nvSpPr>
      <xdr:spPr>
        <a:xfrm>
          <a:off x="12741275" y="1504950"/>
          <a:ext cx="3396615" cy="1612900"/>
        </a:xfrm>
        <a:prstGeom prst="roundRect">
          <a:avLst/>
        </a:prstGeom>
        <a:solidFill>
          <a:schemeClr val="accent5">
            <a:lumMod val="40000"/>
            <a:lumOff val="60000"/>
          </a:schemeClr>
        </a:soli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r>
            <a:rPr lang="en-IN" altLang="en-US" sz="1100"/>
            <a:t>                           </a:t>
          </a:r>
          <a:r>
            <a:rPr lang="en-IN" altLang="en-US" sz="2400" b="1">
              <a:solidFill>
                <a:sysClr val="windowText" lastClr="000000"/>
              </a:solidFill>
            </a:rPr>
            <a:t>   Average salary</a:t>
          </a:r>
          <a:endParaRPr lang="en-IN" altLang="en-US" sz="2400" b="1">
            <a:solidFill>
              <a:sysClr val="windowText" lastClr="000000"/>
            </a:solidFill>
          </a:endParaRPr>
        </a:p>
        <a:p>
          <a:pPr algn="l"/>
          <a:r>
            <a:rPr lang="en-IN" altLang="en-US" sz="2400" b="1">
              <a:solidFill>
                <a:sysClr val="windowText" lastClr="000000"/>
              </a:solidFill>
            </a:rPr>
            <a:t>                  </a:t>
          </a:r>
          <a:r>
            <a:rPr lang="en-IN" altLang="en-US" sz="3200" b="1">
              <a:solidFill>
                <a:sysClr val="windowText" lastClr="000000"/>
              </a:solidFill>
            </a:rPr>
            <a:t>  32800</a:t>
          </a:r>
          <a:endParaRPr lang="en-IN" altLang="en-US" sz="3200" b="1">
            <a:solidFill>
              <a:sysClr val="windowText" lastClr="000000"/>
            </a:solidFill>
          </a:endParaRPr>
        </a:p>
        <a:p>
          <a:pPr algn="l"/>
          <a:r>
            <a:rPr lang="en-IN" altLang="en-US" sz="3200" b="1">
              <a:solidFill>
                <a:sysClr val="windowText" lastClr="000000"/>
              </a:solidFill>
            </a:rPr>
            <a:t>                   </a:t>
          </a:r>
          <a:endParaRPr lang="en-IN" altLang="en-US" sz="3200" b="1">
            <a:solidFill>
              <a:sysClr val="windowText" lastClr="000000"/>
            </a:solidFill>
          </a:endParaRPr>
        </a:p>
      </xdr:txBody>
    </xdr:sp>
    <xdr:clientData/>
  </xdr:twoCellAnchor>
  <xdr:twoCellAnchor editAs="oneCell">
    <xdr:from>
      <xdr:col>0</xdr:col>
      <xdr:colOff>358775</xdr:colOff>
      <xdr:row>6</xdr:row>
      <xdr:rowOff>25400</xdr:rowOff>
    </xdr:from>
    <xdr:to>
      <xdr:col>2</xdr:col>
      <xdr:colOff>152400</xdr:colOff>
      <xdr:row>10</xdr:row>
      <xdr:rowOff>152400</xdr:rowOff>
    </xdr:to>
    <xdr:pic>
      <xdr:nvPicPr>
        <xdr:cNvPr id="23" name="Picture 22" descr="total emp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358775" y="1758950"/>
          <a:ext cx="1012825" cy="993775"/>
        </a:xfrm>
        <a:prstGeom prst="rect">
          <a:avLst/>
        </a:prstGeom>
      </xdr:spPr>
    </xdr:pic>
    <xdr:clientData/>
  </xdr:twoCellAnchor>
  <xdr:twoCellAnchor editAs="oneCell">
    <xdr:from>
      <xdr:col>7</xdr:col>
      <xdr:colOff>3175</xdr:colOff>
      <xdr:row>5</xdr:row>
      <xdr:rowOff>136525</xdr:rowOff>
    </xdr:from>
    <xdr:to>
      <xdr:col>8</xdr:col>
      <xdr:colOff>295910</xdr:colOff>
      <xdr:row>10</xdr:row>
      <xdr:rowOff>31115</xdr:rowOff>
    </xdr:to>
    <xdr:pic>
      <xdr:nvPicPr>
        <xdr:cNvPr id="24" name="Picture 23" descr="attrition count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4270375" y="1679575"/>
          <a:ext cx="902335" cy="951865"/>
        </a:xfrm>
        <a:prstGeom prst="rect">
          <a:avLst/>
        </a:prstGeom>
      </xdr:spPr>
    </xdr:pic>
    <xdr:clientData/>
  </xdr:twoCellAnchor>
  <xdr:twoCellAnchor editAs="oneCell">
    <xdr:from>
      <xdr:col>14</xdr:col>
      <xdr:colOff>215900</xdr:colOff>
      <xdr:row>5</xdr:row>
      <xdr:rowOff>184785</xdr:rowOff>
    </xdr:from>
    <xdr:to>
      <xdr:col>16</xdr:col>
      <xdr:colOff>26670</xdr:colOff>
      <xdr:row>9</xdr:row>
      <xdr:rowOff>112395</xdr:rowOff>
    </xdr:to>
    <xdr:pic>
      <xdr:nvPicPr>
        <xdr:cNvPr id="25" name="Picture 24" descr="attrition rate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8750300" y="1727835"/>
          <a:ext cx="1029970" cy="794385"/>
        </a:xfrm>
        <a:prstGeom prst="rect">
          <a:avLst/>
        </a:prstGeom>
      </xdr:spPr>
    </xdr:pic>
    <xdr:clientData/>
  </xdr:twoCellAnchor>
  <xdr:twoCellAnchor editAs="oneCell">
    <xdr:from>
      <xdr:col>21</xdr:col>
      <xdr:colOff>39370</xdr:colOff>
      <xdr:row>6</xdr:row>
      <xdr:rowOff>56515</xdr:rowOff>
    </xdr:from>
    <xdr:to>
      <xdr:col>22</xdr:col>
      <xdr:colOff>267335</xdr:colOff>
      <xdr:row>10</xdr:row>
      <xdr:rowOff>24765</xdr:rowOff>
    </xdr:to>
    <xdr:pic>
      <xdr:nvPicPr>
        <xdr:cNvPr id="26" name="Picture 25" descr="avg salary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12840970" y="1790065"/>
          <a:ext cx="837565" cy="835025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163.4871527778" refreshedBy="ramak" recordCount="10">
  <cacheSource type="worksheet">
    <worksheetSource ref="A1:J11" sheet="Sheet1"/>
  </cacheSource>
  <cacheFields count="10">
    <cacheField name="Employee id" numFmtId="0">
      <sharedItems containsSemiMixedTypes="0" containsString="0" containsNumber="1" containsInteger="1" minValue="101" maxValue="110" count="10">
        <n v="101"/>
        <n v="102"/>
        <n v="103"/>
        <n v="104"/>
        <n v="105"/>
        <n v="106"/>
        <n v="107"/>
        <n v="108"/>
        <n v="109"/>
        <n v="110"/>
      </sharedItems>
    </cacheField>
    <cacheField name="Name" numFmtId="0">
      <sharedItems count="10">
        <s v="ram"/>
        <s v="vinay"/>
        <s v="bhargavi"/>
        <s v="sriram"/>
        <s v="priyanka"/>
        <s v="swetha"/>
        <s v="prasad"/>
        <s v="anitha"/>
        <s v="nikil"/>
        <s v="gouthami"/>
      </sharedItems>
    </cacheField>
    <cacheField name="Age" numFmtId="0">
      <sharedItems containsSemiMixedTypes="0" containsString="0" containsNumber="1" containsInteger="1" minValue="21" maxValue="30" count="7">
        <n v="22"/>
        <n v="21"/>
        <n v="25"/>
        <n v="23"/>
        <n v="30"/>
        <n v="24"/>
        <n v="28"/>
      </sharedItems>
    </cacheField>
    <cacheField name="Gender" numFmtId="0">
      <sharedItems count="2">
        <s v="Male"/>
        <s v="Female"/>
      </sharedItems>
    </cacheField>
    <cacheField name="Department" numFmtId="0">
      <sharedItems count="3">
        <s v="IT"/>
        <s v="HR"/>
        <s v="Sales"/>
      </sharedItems>
    </cacheField>
    <cacheField name="Salary" numFmtId="0">
      <sharedItems containsSemiMixedTypes="0" containsString="0" containsNumber="1" containsInteger="1" minValue="20000" maxValue="45000" count="7">
        <n v="40000"/>
        <n v="30000"/>
        <n v="25000"/>
        <n v="35000"/>
        <n v="45000"/>
        <n v="20000"/>
        <n v="28000"/>
      </sharedItems>
    </cacheField>
    <cacheField name="Experience" numFmtId="0">
      <sharedItems containsSemiMixedTypes="0" containsString="0" containsNumber="1" containsInteger="1" minValue="1" maxValue="4" count="4">
        <n v="2"/>
        <n v="1"/>
        <n v="3"/>
        <n v="4"/>
      </sharedItems>
    </cacheField>
    <cacheField name="Overtime" numFmtId="0">
      <sharedItems count="2">
        <s v="Yes"/>
        <s v="No"/>
      </sharedItems>
    </cacheField>
    <cacheField name="Attrition" numFmtId="0">
      <sharedItems count="2">
        <s v="No"/>
        <s v="Yes"/>
      </sharedItems>
    </cacheField>
    <cacheField name="Job satisfactim" numFmtId="0">
      <sharedItems count="3">
        <s v="High"/>
        <s v="Low"/>
        <s v="Medium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0">
  <r>
    <x v="0"/>
    <x v="0"/>
    <x v="0"/>
    <x v="0"/>
    <x v="0"/>
    <x v="0"/>
    <x v="0"/>
    <x v="0"/>
    <x v="0"/>
    <x v="0"/>
  </r>
  <r>
    <x v="1"/>
    <x v="1"/>
    <x v="1"/>
    <x v="0"/>
    <x v="1"/>
    <x v="1"/>
    <x v="1"/>
    <x v="0"/>
    <x v="1"/>
    <x v="1"/>
  </r>
  <r>
    <x v="2"/>
    <x v="2"/>
    <x v="2"/>
    <x v="1"/>
    <x v="1"/>
    <x v="1"/>
    <x v="2"/>
    <x v="1"/>
    <x v="1"/>
    <x v="2"/>
  </r>
  <r>
    <x v="3"/>
    <x v="3"/>
    <x v="0"/>
    <x v="0"/>
    <x v="2"/>
    <x v="2"/>
    <x v="0"/>
    <x v="1"/>
    <x v="1"/>
    <x v="0"/>
  </r>
  <r>
    <x v="4"/>
    <x v="4"/>
    <x v="1"/>
    <x v="1"/>
    <x v="0"/>
    <x v="0"/>
    <x v="2"/>
    <x v="0"/>
    <x v="0"/>
    <x v="1"/>
  </r>
  <r>
    <x v="5"/>
    <x v="5"/>
    <x v="3"/>
    <x v="1"/>
    <x v="2"/>
    <x v="3"/>
    <x v="2"/>
    <x v="1"/>
    <x v="1"/>
    <x v="2"/>
  </r>
  <r>
    <x v="6"/>
    <x v="6"/>
    <x v="2"/>
    <x v="0"/>
    <x v="1"/>
    <x v="4"/>
    <x v="1"/>
    <x v="1"/>
    <x v="1"/>
    <x v="2"/>
  </r>
  <r>
    <x v="7"/>
    <x v="7"/>
    <x v="4"/>
    <x v="1"/>
    <x v="2"/>
    <x v="5"/>
    <x v="3"/>
    <x v="0"/>
    <x v="0"/>
    <x v="0"/>
  </r>
  <r>
    <x v="8"/>
    <x v="8"/>
    <x v="5"/>
    <x v="0"/>
    <x v="0"/>
    <x v="3"/>
    <x v="0"/>
    <x v="1"/>
    <x v="1"/>
    <x v="0"/>
  </r>
  <r>
    <x v="9"/>
    <x v="9"/>
    <x v="6"/>
    <x v="1"/>
    <x v="1"/>
    <x v="6"/>
    <x v="1"/>
    <x v="0"/>
    <x v="0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4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D23" firstHeaderRow="0" firstDataRow="0" firstDataCol="0" rowPageCount="1" colPageCount="1"/>
  <pivotFields count="10">
    <pivotField compact="0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compact="0" showAll="0">
      <items count="11">
        <item x="7"/>
        <item x="2"/>
        <item x="9"/>
        <item x="8"/>
        <item x="6"/>
        <item x="4"/>
        <item x="0"/>
        <item x="3"/>
        <item x="5"/>
        <item x="1"/>
        <item t="default"/>
      </items>
    </pivotField>
    <pivotField compact="0" showAll="0">
      <items count="8">
        <item x="1"/>
        <item x="0"/>
        <item x="3"/>
        <item x="5"/>
        <item x="2"/>
        <item x="6"/>
        <item x="4"/>
        <item t="default"/>
      </items>
    </pivotField>
    <pivotField compact="0" showAll="0">
      <items count="3">
        <item x="1"/>
        <item x="0"/>
        <item t="default"/>
      </items>
    </pivotField>
    <pivotField axis="axisPage" compact="0" multipleItemSelectionAllowed="1" showAll="0">
      <items count="4">
        <item x="1"/>
        <item x="0"/>
        <item x="2"/>
        <item t="default"/>
      </items>
    </pivotField>
    <pivotField compact="0" showAll="0">
      <items count="8">
        <item x="5"/>
        <item x="2"/>
        <item x="6"/>
        <item x="1"/>
        <item x="3"/>
        <item x="0"/>
        <item x="4"/>
        <item t="default"/>
      </items>
    </pivotField>
    <pivotField compact="0" showAll="0">
      <items count="5">
        <item x="1"/>
        <item x="0"/>
        <item x="2"/>
        <item x="3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4">
        <item x="0"/>
        <item x="1"/>
        <item x="2"/>
        <item t="default"/>
      </items>
    </pivotField>
  </pivotFields>
  <pageFields count="1">
    <pageField fld="4"/>
  </page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1"/>
  <sheetViews>
    <sheetView zoomScale="70" zoomScaleNormal="70" workbookViewId="0">
      <selection activeCell="G21" sqref="G21"/>
    </sheetView>
  </sheetViews>
  <sheetFormatPr defaultColWidth="9.14285714285714" defaultRowHeight="15"/>
  <cols>
    <col min="1" max="1" width="17" customWidth="1"/>
    <col min="2" max="2" width="12.4285714285714" customWidth="1"/>
    <col min="3" max="3" width="7.14285714285714" customWidth="1"/>
    <col min="4" max="4" width="12.5714285714286"/>
    <col min="5" max="5" width="8"/>
    <col min="6" max="6" width="10.2857142857143" customWidth="1"/>
    <col min="7" max="7" width="14.8571428571429" customWidth="1"/>
    <col min="8" max="8" width="12.4285714285714" customWidth="1"/>
    <col min="9" max="9" width="13.4285714285714" customWidth="1"/>
    <col min="10" max="10" width="22.4285714285714" customWidth="1"/>
    <col min="12" max="12" width="18.5714285714286" customWidth="1"/>
    <col min="13" max="13" width="12.8571428571429"/>
  </cols>
  <sheetData>
    <row r="1" s="6" customFormat="1" ht="15.75" spans="1:13">
      <c r="A1" s="7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</row>
    <row r="2" spans="1:13">
      <c r="A2" s="9">
        <v>101</v>
      </c>
      <c r="B2" s="10" t="s">
        <v>10</v>
      </c>
      <c r="C2" s="10">
        <v>22</v>
      </c>
      <c r="D2" s="10" t="s">
        <v>11</v>
      </c>
      <c r="E2" s="10" t="s">
        <v>12</v>
      </c>
      <c r="F2" s="10">
        <v>40000</v>
      </c>
      <c r="G2" s="10">
        <v>2</v>
      </c>
      <c r="H2" s="10" t="s">
        <v>13</v>
      </c>
      <c r="I2" s="10" t="s">
        <v>14</v>
      </c>
      <c r="J2" s="10" t="s">
        <v>15</v>
      </c>
    </row>
    <row r="3" spans="1:13">
      <c r="A3" s="9">
        <v>102</v>
      </c>
      <c r="B3" s="10" t="s">
        <v>16</v>
      </c>
      <c r="C3" s="10">
        <v>21</v>
      </c>
      <c r="D3" s="10" t="s">
        <v>11</v>
      </c>
      <c r="E3" s="10" t="s">
        <v>17</v>
      </c>
      <c r="F3" s="10">
        <v>30000</v>
      </c>
      <c r="G3" s="10">
        <v>1</v>
      </c>
      <c r="H3" s="10" t="s">
        <v>13</v>
      </c>
      <c r="I3" s="10" t="s">
        <v>13</v>
      </c>
      <c r="J3" s="10" t="s">
        <v>18</v>
      </c>
    </row>
    <row r="4" ht="15.75" spans="1:13">
      <c r="A4" s="9">
        <v>103</v>
      </c>
      <c r="B4" s="10" t="s">
        <v>19</v>
      </c>
      <c r="C4" s="10">
        <v>25</v>
      </c>
      <c r="D4" s="10" t="s">
        <v>20</v>
      </c>
      <c r="E4" s="10" t="s">
        <v>17</v>
      </c>
      <c r="F4" s="10">
        <v>30000</v>
      </c>
      <c r="G4" s="10">
        <v>3</v>
      </c>
      <c r="H4" s="10" t="s">
        <v>14</v>
      </c>
      <c r="I4" s="10" t="s">
        <v>13</v>
      </c>
      <c r="J4" s="10" t="s">
        <v>21</v>
      </c>
      <c r="L4" s="11" t="s">
        <v>22</v>
      </c>
      <c r="M4" s="12"/>
    </row>
    <row r="5" spans="1:13">
      <c r="A5" s="9">
        <v>104</v>
      </c>
      <c r="B5" s="10" t="s">
        <v>23</v>
      </c>
      <c r="C5" s="10">
        <v>22</v>
      </c>
      <c r="D5" s="10" t="s">
        <v>11</v>
      </c>
      <c r="E5" s="10" t="s">
        <v>24</v>
      </c>
      <c r="F5" s="10">
        <v>25000</v>
      </c>
      <c r="G5" s="10">
        <v>2</v>
      </c>
      <c r="H5" s="10" t="s">
        <v>14</v>
      </c>
      <c r="I5" s="10" t="s">
        <v>13</v>
      </c>
      <c r="J5" s="10" t="s">
        <v>15</v>
      </c>
      <c r="L5" s="13" t="s">
        <v>25</v>
      </c>
      <c r="M5" s="13">
        <f>COUNT(A2:A11)</f>
        <v>10</v>
      </c>
    </row>
    <row r="6" spans="1:13">
      <c r="A6" s="9">
        <v>105</v>
      </c>
      <c r="B6" s="10" t="s">
        <v>26</v>
      </c>
      <c r="C6" s="10">
        <v>21</v>
      </c>
      <c r="D6" s="10" t="s">
        <v>20</v>
      </c>
      <c r="E6" s="10" t="s">
        <v>12</v>
      </c>
      <c r="F6" s="10">
        <v>40000</v>
      </c>
      <c r="G6" s="10">
        <v>3</v>
      </c>
      <c r="H6" s="10" t="s">
        <v>13</v>
      </c>
      <c r="I6" s="10" t="s">
        <v>14</v>
      </c>
      <c r="J6" s="10" t="s">
        <v>18</v>
      </c>
      <c r="L6" s="13" t="s">
        <v>27</v>
      </c>
      <c r="M6" s="13">
        <f>COUNTIF(I2:I11,"yes")</f>
        <v>6</v>
      </c>
    </row>
    <row r="7" spans="1:13">
      <c r="A7" s="9">
        <v>106</v>
      </c>
      <c r="B7" s="10" t="s">
        <v>28</v>
      </c>
      <c r="C7" s="10">
        <v>23</v>
      </c>
      <c r="D7" s="10" t="s">
        <v>20</v>
      </c>
      <c r="E7" s="10" t="s">
        <v>24</v>
      </c>
      <c r="F7" s="10">
        <v>35000</v>
      </c>
      <c r="G7" s="10">
        <v>3</v>
      </c>
      <c r="H7" s="10" t="s">
        <v>14</v>
      </c>
      <c r="I7" s="10" t="s">
        <v>13</v>
      </c>
      <c r="J7" s="10" t="s">
        <v>21</v>
      </c>
      <c r="L7" s="13" t="s">
        <v>29</v>
      </c>
      <c r="M7" s="13">
        <f>C3/C2</f>
        <v>0.954545454545455</v>
      </c>
    </row>
    <row r="8" spans="1:13">
      <c r="A8" s="9">
        <v>107</v>
      </c>
      <c r="B8" s="10" t="s">
        <v>30</v>
      </c>
      <c r="C8" s="10">
        <v>25</v>
      </c>
      <c r="D8" s="10" t="s">
        <v>11</v>
      </c>
      <c r="E8" s="10" t="s">
        <v>17</v>
      </c>
      <c r="F8" s="10">
        <v>45000</v>
      </c>
      <c r="G8" s="10">
        <v>1</v>
      </c>
      <c r="H8" s="10" t="s">
        <v>14</v>
      </c>
      <c r="I8" s="10" t="s">
        <v>13</v>
      </c>
      <c r="J8" s="10" t="s">
        <v>21</v>
      </c>
      <c r="L8" s="13" t="s">
        <v>31</v>
      </c>
      <c r="M8" s="13">
        <f>AVERAGE(F2:F11)</f>
        <v>32800</v>
      </c>
    </row>
    <row r="9" spans="1:13">
      <c r="A9" s="9">
        <v>108</v>
      </c>
      <c r="B9" s="10" t="s">
        <v>32</v>
      </c>
      <c r="C9" s="10">
        <v>30</v>
      </c>
      <c r="D9" s="10" t="s">
        <v>20</v>
      </c>
      <c r="E9" s="10" t="s">
        <v>24</v>
      </c>
      <c r="F9" s="10">
        <v>20000</v>
      </c>
      <c r="G9" s="10">
        <v>4</v>
      </c>
      <c r="H9" s="10" t="s">
        <v>13</v>
      </c>
      <c r="I9" s="10" t="s">
        <v>14</v>
      </c>
      <c r="J9" s="10" t="s">
        <v>15</v>
      </c>
    </row>
    <row r="10" spans="1:13">
      <c r="A10" s="9">
        <v>109</v>
      </c>
      <c r="B10" s="10" t="s">
        <v>33</v>
      </c>
      <c r="C10" s="10">
        <v>24</v>
      </c>
      <c r="D10" s="10" t="s">
        <v>11</v>
      </c>
      <c r="E10" s="10" t="s">
        <v>12</v>
      </c>
      <c r="F10" s="10">
        <v>35000</v>
      </c>
      <c r="G10" s="10">
        <v>2</v>
      </c>
      <c r="H10" s="10" t="s">
        <v>14</v>
      </c>
      <c r="I10" s="10" t="s">
        <v>13</v>
      </c>
      <c r="J10" s="10" t="s">
        <v>15</v>
      </c>
    </row>
    <row r="11" spans="1:13">
      <c r="A11" s="9">
        <v>110</v>
      </c>
      <c r="B11" s="10" t="s">
        <v>34</v>
      </c>
      <c r="C11" s="10">
        <v>28</v>
      </c>
      <c r="D11" s="10" t="s">
        <v>20</v>
      </c>
      <c r="E11" s="10" t="s">
        <v>17</v>
      </c>
      <c r="F11" s="10">
        <v>28000</v>
      </c>
      <c r="G11" s="10">
        <v>1</v>
      </c>
      <c r="H11" s="10" t="s">
        <v>35</v>
      </c>
      <c r="I11" s="10" t="s">
        <v>14</v>
      </c>
      <c r="J11" s="10" t="s">
        <v>15</v>
      </c>
    </row>
    <row r="12" spans="1:13">
      <c r="A12" s="14"/>
      <c r="B12" s="15"/>
      <c r="C12" s="15"/>
      <c r="D12" s="15"/>
      <c r="E12" s="15"/>
      <c r="F12" s="15"/>
      <c r="G12" s="15"/>
      <c r="H12" s="15"/>
      <c r="I12" s="15"/>
      <c r="J12" s="15"/>
    </row>
    <row r="13" spans="1:13">
      <c r="A13" s="14"/>
      <c r="B13" s="15"/>
      <c r="C13" s="15"/>
      <c r="D13" s="15"/>
      <c r="E13" s="15"/>
      <c r="F13" s="15"/>
      <c r="G13" s="15"/>
      <c r="H13" s="15"/>
      <c r="I13" s="15"/>
      <c r="J13" s="15"/>
    </row>
    <row r="14" ht="15.75" spans="1:13">
      <c r="A14" s="14"/>
      <c r="B14" s="16" t="s">
        <v>36</v>
      </c>
      <c r="C14" s="15"/>
      <c r="D14" s="15"/>
      <c r="E14" s="15"/>
      <c r="F14" s="16" t="s">
        <v>37</v>
      </c>
      <c r="G14" s="15"/>
      <c r="H14" s="15"/>
      <c r="I14" s="16" t="s">
        <v>38</v>
      </c>
      <c r="J14" s="17"/>
      <c r="L14" s="11" t="s">
        <v>39</v>
      </c>
    </row>
    <row r="15" spans="1:13">
      <c r="B15" s="13" t="s">
        <v>12</v>
      </c>
      <c r="C15" s="13">
        <v>3</v>
      </c>
      <c r="F15" s="13" t="s">
        <v>11</v>
      </c>
      <c r="G15" s="13">
        <v>5</v>
      </c>
      <c r="I15" s="13" t="s">
        <v>12</v>
      </c>
      <c r="J15" s="13">
        <v>33250</v>
      </c>
      <c r="L15" s="13" t="s">
        <v>15</v>
      </c>
      <c r="M15" s="13">
        <v>3</v>
      </c>
    </row>
    <row r="16" spans="1:13">
      <c r="B16" s="13" t="s">
        <v>17</v>
      </c>
      <c r="C16" s="13">
        <v>4</v>
      </c>
      <c r="F16" s="13" t="s">
        <v>20</v>
      </c>
      <c r="G16" s="13">
        <v>5</v>
      </c>
      <c r="I16" s="13" t="s">
        <v>17</v>
      </c>
      <c r="J16" s="13">
        <v>38333</v>
      </c>
      <c r="L16" s="13" t="s">
        <v>21</v>
      </c>
      <c r="M16" s="13">
        <v>2</v>
      </c>
    </row>
    <row r="17" spans="2:13">
      <c r="B17" s="13" t="s">
        <v>24</v>
      </c>
      <c r="C17" s="13">
        <v>3</v>
      </c>
      <c r="I17" s="13" t="s">
        <v>24</v>
      </c>
      <c r="J17" s="13">
        <v>26666</v>
      </c>
      <c r="L17" s="13" t="s">
        <v>18</v>
      </c>
      <c r="M17" s="13">
        <v>1</v>
      </c>
    </row>
    <row r="21" spans="2:13">
      <c r="D21" t="s">
        <v>4</v>
      </c>
      <c r="E21" t="s">
        <v>40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52"/>
  <sheetViews>
    <sheetView showGridLines="0" tabSelected="1" zoomScale="42" zoomScaleNormal="42" workbookViewId="0">
      <selection activeCell="Z34" sqref="AI13 Z34"/>
    </sheetView>
  </sheetViews>
  <sheetFormatPr defaultColWidth="9.14285714285714" defaultRowHeight="15"/>
  <cols>
    <col min="26" max="26" width="18.4190476190476" customWidth="1"/>
  </cols>
  <sheetData>
    <row r="1" spans="1:26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61.5" spans="1:26">
      <c r="A2" s="1"/>
      <c r="B2" s="1"/>
      <c r="C2" s="1"/>
      <c r="D2" s="1"/>
      <c r="E2" s="1"/>
      <c r="F2" s="1"/>
      <c r="G2" s="2"/>
      <c r="H2" s="3" t="s">
        <v>41</v>
      </c>
      <c r="I2" s="2"/>
      <c r="J2" s="2"/>
      <c r="K2" s="2"/>
      <c r="L2" s="2"/>
      <c r="M2" s="2"/>
      <c r="N2" s="2"/>
      <c r="O2" s="2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23.25" spans="1:26">
      <c r="A7" s="1"/>
      <c r="B7" s="1"/>
      <c r="C7" s="1"/>
      <c r="D7" s="1"/>
      <c r="E7" s="1"/>
      <c r="F7" s="1"/>
      <c r="G7" s="1"/>
      <c r="H7" s="1"/>
      <c r="I7" s="1"/>
      <c r="J7" s="4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</sheetData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ramak</dc:creator>
  <cp:lastModifiedBy>ramak</cp:lastModifiedBy>
  <dcterms:created xsi:type="dcterms:W3CDTF">2026-05-20T06:17:07Z</dcterms:created>
  <dcterms:modified xsi:type="dcterms:W3CDTF">2026-05-21T07:14:26Z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6DD56F025C5F44F08A99A8F0FB5A6A28_11</vt:lpwstr>
  </property>
  <property fmtid="{D5CDD505-2E9C-101B-9397-08002B2CF9AE}" pid="3" name="KSOProductBuildVer">
    <vt:lpwstr>1033-12.1.0.26372</vt:lpwstr>
  </property>
  <property fmtid="{D5CDD505-2E9C-101B-9397-08002B2CF9AE}" pid="4" name="CalculationRule">
    <vt:i4>1</vt:i4>
  </property>
</Properties>
</file>